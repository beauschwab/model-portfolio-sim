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del" sheetId="2" state="visible" r:id="rId4"/>
    <sheet name="Valu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Selects the deal/volume multiplier below</t>
        </r>
      </text>
    </comment>
    <comment ref="C6" authorId="0">
      <text>
        <r>
          <rPr>
            <sz val="10"/>
            <rFont val="Arial"/>
            <family val="2"/>
          </rPr>
          <t xml:space="preserve">Applied to new Large/Mid banks and all channel volumes</t>
        </r>
      </text>
    </comment>
    <comment ref="C11" authorId="0">
      <text>
        <r>
          <rPr>
            <sz val="10"/>
            <rFont val="Arial"/>
            <family val="2"/>
          </rPr>
          <t xml:space="preserve">Realized after discount; list ~$1.0M</t>
        </r>
      </text>
    </comment>
    <comment ref="C14" authorId="0">
      <text>
        <r>
          <rPr>
            <sz val="10"/>
            <rFont val="Arial"/>
            <family val="2"/>
          </rPr>
          <t xml:space="preserve">50% at working runs + 50% at validation approval or month 6; ~20% slips to next year</t>
        </r>
      </text>
    </comment>
    <comment ref="C15" authorId="0">
      <text>
        <r>
          <rPr>
            <sz val="10"/>
            <rFont val="Arial"/>
            <family val="2"/>
          </rPr>
          <t xml:space="preserve">1-month integration + validation support package</t>
        </r>
      </text>
    </comment>
    <comment ref="C18" authorId="0">
      <text>
        <r>
          <rPr>
            <sz val="10"/>
            <rFont val="Arial"/>
            <family val="2"/>
          </rPr>
          <t xml:space="preserve">Starts year after sale</t>
        </r>
      </text>
    </comment>
    <comment ref="C24" authorId="0">
      <text>
        <r>
          <rPr>
            <sz val="10"/>
            <rFont val="Arial"/>
            <family val="2"/>
          </rPr>
          <t xml:space="preserve">1 month x 2 FDEs + validation support</t>
        </r>
      </text>
    </comment>
    <comment ref="C26" authorId="0">
      <text>
        <r>
          <rPr>
            <sz val="10"/>
            <rFont val="Arial"/>
            <family val="2"/>
          </rPr>
          <t xml:space="preserve">First integrations take 2–3 months</t>
        </r>
      </text>
    </comment>
    <comment ref="C32" authorId="0">
      <text>
        <r>
          <rPr>
            <sz val="10"/>
            <rFont val="Arial"/>
            <family val="2"/>
          </rPr>
          <t xml:space="preserve">~$8k; community banks pay outsourced ALM ~$15–60k/yr</t>
        </r>
      </text>
    </comment>
    <comment ref="C41" authorId="0">
      <text>
        <r>
          <rPr>
            <sz val="10"/>
            <rFont val="Arial"/>
            <family val="2"/>
          </rPr>
          <t xml:space="preserve">Approximate</t>
        </r>
      </text>
    </comment>
    <comment ref="C42" authorId="0">
      <text>
        <r>
          <rPr>
            <sz val="10"/>
            <rFont val="Arial"/>
            <family val="2"/>
          </rPr>
          <t xml:space="preserve">Approximate</t>
        </r>
      </text>
    </comment>
    <comment ref="C43" authorId="0">
      <text>
        <r>
          <rPr>
            <sz val="10"/>
            <rFont val="Arial"/>
            <family val="2"/>
          </rPr>
          <t xml:space="preserve">Approximate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2" authorId="0">
      <text>
        <r>
          <rPr>
            <sz val="10"/>
            <rFont val="Arial"/>
            <family val="2"/>
          </rPr>
          <t xml:space="preserve">Typical seed-stage target 10–30x to compensate for failure risk</t>
        </r>
      </text>
    </comment>
    <comment ref="C24" authorId="0">
      <text>
        <r>
          <rPr>
            <sz val="10"/>
            <rFont val="Arial"/>
            <family val="2"/>
          </rPr>
          <t xml:space="preserve">Low if only a seed round is raised and the company is self-funding by Y3</t>
        </r>
      </text>
    </comment>
  </commentList>
</comments>
</file>

<file path=xl/sharedStrings.xml><?xml version="1.0" encoding="utf-8"?>
<sst xmlns="http://schemas.openxmlformats.org/spreadsheetml/2006/main" count="151" uniqueCount="140">
  <si>
    <t xml:space="preserve">Rates Workbench – business model assumptions</t>
  </si>
  <si>
    <t xml:space="preserve">Blue = editable input; yellow = key lever. All $ in $M. Figures are illustrative judgment, not market data.</t>
  </si>
  <si>
    <t xml:space="preserve">Scalar inputs</t>
  </si>
  <si>
    <t xml:space="preserve">Value</t>
  </si>
  <si>
    <t xml:space="preserve">Scenario (1=Downside, 2=Base, 3=Upside)</t>
  </si>
  <si>
    <t xml:space="preserve">Volume multiplier – Downside</t>
  </si>
  <si>
    <t xml:space="preserve">Volume multiplier – Base</t>
  </si>
  <si>
    <t xml:space="preserve">Volume multiplier – Upside</t>
  </si>
  <si>
    <t xml:space="preserve">Active volume multiplier</t>
  </si>
  <si>
    <t xml:space="preserve">Direct pricing</t>
  </si>
  <si>
    <t xml:space="preserve">License – Large tier ($50–250B), $M</t>
  </si>
  <si>
    <t xml:space="preserve">License – Mid tier ($10–50B), $M</t>
  </si>
  <si>
    <t xml:space="preserve">License – design partner, $M</t>
  </si>
  <si>
    <t xml:space="preserve">Share of license paid in year of sale</t>
  </si>
  <si>
    <t xml:space="preserve">Onboarding + validation support – Large, $M</t>
  </si>
  <si>
    <t xml:space="preserve">Onboarding + validation support – Mid, $M</t>
  </si>
  <si>
    <t xml:space="preserve">Onboarding + validation support – design partner, $M</t>
  </si>
  <si>
    <t xml:space="preserve">Update subscription, % of license per year</t>
  </si>
  <si>
    <t xml:space="preserve">Design-partner subscription, $M/yr</t>
  </si>
  <si>
    <t xml:space="preserve">Ongoing customization – Large, $M/yr</t>
  </si>
  <si>
    <t xml:space="preserve">Ongoing customization – Mid, $M/yr</t>
  </si>
  <si>
    <t xml:space="preserve">Ongoing customization – design partner, $M/yr</t>
  </si>
  <si>
    <t xml:space="preserve">Delivery effort</t>
  </si>
  <si>
    <t xml:space="preserve">FDE-years per new Large bank</t>
  </si>
  <si>
    <t xml:space="preserve">FDE-years per new Mid bank</t>
  </si>
  <si>
    <t xml:space="preserve">FDE-years per new design partner</t>
  </si>
  <si>
    <t xml:space="preserve">FDE per existing Large/design-partner bank</t>
  </si>
  <si>
    <t xml:space="preserve">FDE per existing Mid bank</t>
  </si>
  <si>
    <t xml:space="preserve">Minimum FDE headcount</t>
  </si>
  <si>
    <t xml:space="preserve">Channel pricing</t>
  </si>
  <si>
    <t xml:space="preserve">Outsourced-ALM partner platform fee, $M/yr</t>
  </si>
  <si>
    <t xml:space="preserve">Royalty per partner-served institution, $M/yr</t>
  </si>
  <si>
    <t xml:space="preserve">Validation-firm challenger license, $M/yr</t>
  </si>
  <si>
    <t xml:space="preserve">M&amp;A / purchase-accounting engagement fee, $M</t>
  </si>
  <si>
    <t xml:space="preserve">Advisory (Big 4) enterprise license, $M/yr</t>
  </si>
  <si>
    <t xml:space="preserve">Costs</t>
  </si>
  <si>
    <t xml:space="preserve">Fully loaded cost per head, $M/yr</t>
  </si>
  <si>
    <t xml:space="preserve">Commission on direct license bookings</t>
  </si>
  <si>
    <t xml:space="preserve">Commission on channel revenue</t>
  </si>
  <si>
    <t xml:space="preserve">Market pools</t>
  </si>
  <si>
    <t xml:space="preserve">Pool: US regional banks $10–250B (count)</t>
  </si>
  <si>
    <t xml:space="preserve">Pool: US community banks + credit unions &lt;$10B (count)</t>
  </si>
  <si>
    <t xml:space="preserve">US bank M&amp;A deals per year (count)</t>
  </si>
  <si>
    <t xml:space="preserve">Time-series inputs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</si>
  <si>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</si>
  <si>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</si>
  <si>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</si>
  <si>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</si>
  <si>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</si>
  <si>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New design-partner banks</t>
  </si>
  <si>
    <t xml:space="preserve">New Large-tier banks (base)</t>
  </si>
  <si>
    <t xml:space="preserve">New Mid-tier banks (base)</t>
  </si>
  <si>
    <t xml:space="preserve">Outsourced-ALM partners (active, base)</t>
  </si>
  <si>
    <t xml:space="preserve">Institutions served via partners (base)</t>
  </si>
  <si>
    <t xml:space="preserve">Validation firms licensed (base)</t>
  </si>
  <si>
    <t xml:space="preserve">M&amp;A engagements (base)</t>
  </si>
  <si>
    <t xml:space="preserve">Advisory enterprise licenses (base)</t>
  </si>
  <si>
    <t xml:space="preserve">Core R&amp;D / quant heads</t>
  </si>
  <si>
    <t xml:space="preserve">Sales heads</t>
  </si>
  <si>
    <t xml:space="preserve">Partner-enablement heads</t>
  </si>
  <si>
    <t xml:space="preserve">G&amp;A heads</t>
  </si>
  <si>
    <t xml:space="preserve">Non-personnel costs, $M</t>
  </si>
  <si>
    <t xml:space="preserve">Example: to test a slower ramp, set C5 to 1, or lower row 48–49 deal counts.</t>
  </si>
  <si>
    <t xml:space="preserve">Projections ($M unless noted) – scenario-driven</t>
  </si>
  <si>
    <t xml:space="preserve">Direct banks</t>
  </si>
  <si>
    <t xml:space="preserve">New design partners</t>
  </si>
  <si>
    <t xml:space="preserve">New Large-tier banks</t>
  </si>
  <si>
    <t xml:space="preserve">New Mid-tier banks</t>
  </si>
  <si>
    <t xml:space="preserve">Cumulative design partners</t>
  </si>
  <si>
    <t xml:space="preserve">Cumulative Large</t>
  </si>
  <si>
    <t xml:space="preserve">Cumulative Mid</t>
  </si>
  <si>
    <t xml:space="preserve">Cumulative direct banks</t>
  </si>
  <si>
    <t xml:space="preserve">Penetration of regional pool</t>
  </si>
  <si>
    <t xml:space="preserve">Revenue</t>
  </si>
  <si>
    <t xml:space="preserve">License bookings</t>
  </si>
  <si>
    <t xml:space="preserve">License revenue (cash timing)</t>
  </si>
  <si>
    <t xml:space="preserve">Onboarding + validation support</t>
  </si>
  <si>
    <t xml:space="preserve">Update subscription</t>
  </si>
  <si>
    <t xml:space="preserve">Ongoing customization services</t>
  </si>
  <si>
    <t xml:space="preserve">Direct revenue</t>
  </si>
  <si>
    <t xml:space="preserve">ALM partner platform fees</t>
  </si>
  <si>
    <t xml:space="preserve">Partner per-institution royalties</t>
  </si>
  <si>
    <t xml:space="preserve">Validation-firm licenses</t>
  </si>
  <si>
    <t xml:space="preserve">M&amp;A engagements</t>
  </si>
  <si>
    <t xml:space="preserve">Advisory enterprise licenses</t>
  </si>
  <si>
    <t xml:space="preserve">Channel revenue</t>
  </si>
  <si>
    <t xml:space="preserve">Total revenue</t>
  </si>
  <si>
    <t xml:space="preserve">Recurring revenue (subscription + annual channel licenses)</t>
  </si>
  <si>
    <t xml:space="preserve">Recurring share</t>
  </si>
  <si>
    <t xml:space="preserve">Channel share</t>
  </si>
  <si>
    <t xml:space="preserve">Channel penetration of community pool</t>
  </si>
  <si>
    <t xml:space="preserve">Headcount</t>
  </si>
  <si>
    <t xml:space="preserve">FDEs</t>
  </si>
  <si>
    <t xml:space="preserve">Core R&amp;D / quant</t>
  </si>
  <si>
    <t xml:space="preserve">Sales</t>
  </si>
  <si>
    <t xml:space="preserve">Partner enablement</t>
  </si>
  <si>
    <t xml:space="preserve">G&amp;A</t>
  </si>
  <si>
    <t xml:space="preserve">Total headcount</t>
  </si>
  <si>
    <t xml:space="preserve">Costs and profit</t>
  </si>
  <si>
    <t xml:space="preserve">Personnel</t>
  </si>
  <si>
    <t xml:space="preserve">Non-personnel</t>
  </si>
  <si>
    <t xml:space="preserve">Commissions</t>
  </si>
  <si>
    <t xml:space="preserve">Total costs</t>
  </si>
  <si>
    <t xml:space="preserve">Operating income (~EBITDA)</t>
  </si>
  <si>
    <t xml:space="preserve">Operating margin</t>
  </si>
  <si>
    <t xml:space="preserve">Cumulative operating cash (pre-financing)</t>
  </si>
  <si>
    <t xml:space="preserve">Peak funding need (excl. Phase-0 and buffer)</t>
  </si>
  <si>
    <t xml:space="preserve">Valuation – Year 5 exit and implied value today</t>
  </si>
  <si>
    <t xml:space="preserve">Multiples are judgment for private vertical financial software, not sourced comparables. Edit blue cells.</t>
  </si>
  <si>
    <t xml:space="preserve">Low</t>
  </si>
  <si>
    <t xml:space="preserve">Mid</t>
  </si>
  <si>
    <t xml:space="preserve">High</t>
  </si>
  <si>
    <t xml:space="preserve">Multiple on recurring revenue</t>
  </si>
  <si>
    <t xml:space="preserve">Multiple on non-recurring revenue (license, services, M&amp;A)</t>
  </si>
  <si>
    <t xml:space="preserve">Multiple on operating income (EBITDA cross-check)</t>
  </si>
  <si>
    <t xml:space="preserve">Year 5 inputs (from Model)</t>
  </si>
  <si>
    <t xml:space="preserve">Y5 total revenue</t>
  </si>
  <si>
    <t xml:space="preserve">Y5 recurring revenue</t>
  </si>
  <si>
    <t xml:space="preserve">Y5 non-recurring revenue</t>
  </si>
  <si>
    <t xml:space="preserve">Y5 operating income</t>
  </si>
  <si>
    <t xml:space="preserve">Year 5 enterprise value ($M)</t>
  </si>
  <si>
    <t xml:space="preserve">Revenue-mix method</t>
  </si>
  <si>
    <t xml:space="preserve">EBITDA method</t>
  </si>
  <si>
    <t xml:space="preserve">Blended (average)</t>
  </si>
  <si>
    <t xml:space="preserve">Implied multiple of Y5 revenue</t>
  </si>
  <si>
    <t xml:space="preserve">Implied value today (VC method)</t>
  </si>
  <si>
    <t xml:space="preserve">Target return multiple – pre-revenue (code + founders)</t>
  </si>
  <si>
    <t xml:space="preserve">Target return multiple – after 2 paid design partners</t>
  </si>
  <si>
    <t xml:space="preserve">Expected dilution before exit</t>
  </si>
  <si>
    <t xml:space="preserve">Post-money today – pre-revenue</t>
  </si>
  <si>
    <t xml:space="preserve">Post-money – after 2 paid design partners</t>
  </si>
  <si>
    <t xml:space="preserve">Stage ladder (judgment)</t>
  </si>
  <si>
    <t xml:space="preserve">Pre-revenue: working code, synthetic data, no bank users</t>
  </si>
  <si>
    <t xml:space="preserve">Value set by team, domain depth and validation evidence; code alone is cheaper to replicate with coding agents</t>
  </si>
  <si>
    <t xml:space="preserve">2 paid design partners, model-risk sign-off pending</t>
  </si>
  <si>
    <t xml:space="preserve">Re-price on proof that banks will validate and pay</t>
  </si>
  <si>
    <t xml:space="preserve">$3–5M recurring, 8–10 banks, first channel partner</t>
  </si>
  <si>
    <t xml:space="preserve">Recurring-revenue multiple starts to dominate</t>
  </si>
  <si>
    <t xml:space="preserve">Y5: $15–20M revenue, ~50% recurring, profitable</t>
  </si>
  <si>
    <t xml:space="preserve">Strategic buyers (ALM/risk vendors, core banking providers) or vertical-software PE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</si>
</sst>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\x"/>
    <numFmt numFmtId="167" formatCode="\$#,##0.00;&quot;($&quot;#,##0.00\);\-"/>
    <numFmt numFmtId="168" formatCode="0.0%;\(0.0%\);\-"/>
    <numFmt numFmtId="169" formatCode="#,##0.0;\(#,##0.0\);\-"/>
    <numFmt numFmtId="170" formatCode="\$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3" t="s">
        <v>3</v>
      </c>
    </row>
    <row r="5" customFormat="false" ht="15" hidden="false" customHeight="false" outlineLevel="0" collapsed="false">
      <c r="A5" s="4" t="s">
        <v>4</v>
      </c>
      <c r="C5" s="5" t="n">
        <v>2</v>
      </c>
    </row>
    <row r="6" customFormat="false" ht="15" hidden="false" customHeight="false" outlineLevel="0" collapsed="false">
      <c r="A6" s="4" t="s">
        <v>5</v>
      </c>
      <c r="C6" s="6" t="n">
        <v>0.5</v>
      </c>
    </row>
    <row r="7" customFormat="false" ht="15" hidden="false" customHeight="false" outlineLevel="0" collapsed="false">
      <c r="A7" s="4" t="s">
        <v>6</v>
      </c>
      <c r="C7" s="6" t="n">
        <v>1</v>
      </c>
    </row>
    <row r="8" customFormat="false" ht="15" hidden="false" customHeight="false" outlineLevel="0" collapsed="false">
      <c r="A8" s="4" t="s">
        <v>7</v>
      </c>
      <c r="C8" s="6" t="n">
        <v>1.4</v>
      </c>
    </row>
    <row r="9" customFormat="false" ht="15" hidden="false" customHeight="false" outlineLevel="0" collapsed="false">
      <c r="A9" s="4" t="s">
        <v>8</v>
      </c>
      <c r="C9" s="7" t="n">
        <f aca="false">INDEX(C6:C8,C5)</f>
        <v>1</v>
      </c>
    </row>
    <row r="10" customFormat="false" ht="15" hidden="false" customHeight="false" outlineLevel="0" collapsed="false">
      <c r="A10" s="3" t="s">
        <v>9</v>
      </c>
    </row>
    <row r="11" customFormat="false" ht="15" hidden="false" customHeight="false" outlineLevel="0" collapsed="false">
      <c r="A11" s="4" t="s">
        <v>10</v>
      </c>
      <c r="C11" s="8" t="n">
        <v>0.8</v>
      </c>
    </row>
    <row r="12" customFormat="false" ht="15" hidden="false" customHeight="false" outlineLevel="0" collapsed="false">
      <c r="A12" s="4" t="s">
        <v>11</v>
      </c>
      <c r="C12" s="8" t="n">
        <v>0.35</v>
      </c>
    </row>
    <row r="13" customFormat="false" ht="15" hidden="false" customHeight="false" outlineLevel="0" collapsed="false">
      <c r="A13" s="4" t="s">
        <v>12</v>
      </c>
      <c r="C13" s="9" t="n">
        <v>0.25</v>
      </c>
    </row>
    <row r="14" customFormat="false" ht="15" hidden="false" customHeight="false" outlineLevel="0" collapsed="false">
      <c r="A14" s="4" t="s">
        <v>13</v>
      </c>
      <c r="C14" s="10" t="n">
        <v>0.8</v>
      </c>
    </row>
    <row r="15" customFormat="false" ht="15" hidden="false" customHeight="false" outlineLevel="0" collapsed="false">
      <c r="A15" s="4" t="s">
        <v>14</v>
      </c>
      <c r="C15" s="9" t="n">
        <v>0.25</v>
      </c>
    </row>
    <row r="16" customFormat="false" ht="15" hidden="false" customHeight="false" outlineLevel="0" collapsed="false">
      <c r="A16" s="4" t="s">
        <v>15</v>
      </c>
      <c r="C16" s="9" t="n">
        <v>0.15</v>
      </c>
    </row>
    <row r="17" customFormat="false" ht="15" hidden="false" customHeight="false" outlineLevel="0" collapsed="false">
      <c r="A17" s="4" t="s">
        <v>16</v>
      </c>
      <c r="C17" s="9" t="n">
        <v>0.15</v>
      </c>
    </row>
    <row r="18" customFormat="false" ht="15" hidden="false" customHeight="false" outlineLevel="0" collapsed="false">
      <c r="A18" s="4" t="s">
        <v>17</v>
      </c>
      <c r="C18" s="10" t="n">
        <v>0.2</v>
      </c>
    </row>
    <row r="19" customFormat="false" ht="15" hidden="false" customHeight="false" outlineLevel="0" collapsed="false">
      <c r="A19" s="4" t="s">
        <v>18</v>
      </c>
      <c r="C19" s="9" t="n">
        <v>0.15</v>
      </c>
    </row>
    <row r="20" customFormat="false" ht="15" hidden="false" customHeight="false" outlineLevel="0" collapsed="false">
      <c r="A20" s="4" t="s">
        <v>19</v>
      </c>
      <c r="C20" s="9" t="n">
        <v>0.15</v>
      </c>
    </row>
    <row r="21" customFormat="false" ht="15" hidden="false" customHeight="false" outlineLevel="0" collapsed="false">
      <c r="A21" s="4" t="s">
        <v>20</v>
      </c>
      <c r="C21" s="9" t="n">
        <v>0.075</v>
      </c>
    </row>
    <row r="22" customFormat="false" ht="15" hidden="false" customHeight="false" outlineLevel="0" collapsed="false">
      <c r="A22" s="4" t="s">
        <v>21</v>
      </c>
      <c r="C22" s="9" t="n">
        <v>0.15</v>
      </c>
    </row>
    <row r="23" customFormat="false" ht="15" hidden="false" customHeight="false" outlineLevel="0" collapsed="false">
      <c r="A23" s="3" t="s">
        <v>22</v>
      </c>
    </row>
    <row r="24" customFormat="false" ht="15" hidden="false" customHeight="false" outlineLevel="0" collapsed="false">
      <c r="A24" s="4" t="s">
        <v>23</v>
      </c>
      <c r="C24" s="11" t="n">
        <v>0.3</v>
      </c>
    </row>
    <row r="25" customFormat="false" ht="15" hidden="false" customHeight="false" outlineLevel="0" collapsed="false">
      <c r="A25" s="4" t="s">
        <v>24</v>
      </c>
      <c r="C25" s="12" t="n">
        <v>0.25</v>
      </c>
    </row>
    <row r="26" customFormat="false" ht="15" hidden="false" customHeight="false" outlineLevel="0" collapsed="false">
      <c r="A26" s="4" t="s">
        <v>25</v>
      </c>
      <c r="C26" s="12" t="n">
        <v>0.5</v>
      </c>
    </row>
    <row r="27" customFormat="false" ht="15" hidden="false" customHeight="false" outlineLevel="0" collapsed="false">
      <c r="A27" s="4" t="s">
        <v>26</v>
      </c>
      <c r="C27" s="12" t="n">
        <v>0.25</v>
      </c>
    </row>
    <row r="28" customFormat="false" ht="15" hidden="false" customHeight="false" outlineLevel="0" collapsed="false">
      <c r="A28" s="4" t="s">
        <v>27</v>
      </c>
      <c r="C28" s="12" t="n">
        <v>0.15</v>
      </c>
    </row>
    <row r="29" customFormat="false" ht="15" hidden="false" customHeight="false" outlineLevel="0" collapsed="false">
      <c r="A29" s="4" t="s">
        <v>28</v>
      </c>
      <c r="C29" s="12" t="n">
        <v>1.5</v>
      </c>
    </row>
    <row r="30" customFormat="false" ht="15" hidden="false" customHeight="false" outlineLevel="0" collapsed="false">
      <c r="A30" s="3" t="s">
        <v>29</v>
      </c>
    </row>
    <row r="31" customFormat="false" ht="15" hidden="false" customHeight="false" outlineLevel="0" collapsed="false">
      <c r="A31" s="4" t="s">
        <v>30</v>
      </c>
      <c r="C31" s="9" t="n">
        <v>0.35</v>
      </c>
    </row>
    <row r="32" customFormat="false" ht="15" hidden="false" customHeight="false" outlineLevel="0" collapsed="false">
      <c r="A32" s="4" t="s">
        <v>31</v>
      </c>
      <c r="C32" s="13" t="n">
        <v>0.008</v>
      </c>
    </row>
    <row r="33" customFormat="false" ht="15" hidden="false" customHeight="false" outlineLevel="0" collapsed="false">
      <c r="A33" s="4" t="s">
        <v>32</v>
      </c>
      <c r="C33" s="9" t="n">
        <v>0.15</v>
      </c>
    </row>
    <row r="34" customFormat="false" ht="15" hidden="false" customHeight="false" outlineLevel="0" collapsed="false">
      <c r="A34" s="4" t="s">
        <v>33</v>
      </c>
      <c r="C34" s="9" t="n">
        <v>0.1</v>
      </c>
    </row>
    <row r="35" customFormat="false" ht="15" hidden="false" customHeight="false" outlineLevel="0" collapsed="false">
      <c r="A35" s="4" t="s">
        <v>34</v>
      </c>
      <c r="C35" s="9" t="n">
        <v>0.5</v>
      </c>
    </row>
    <row r="36" customFormat="false" ht="15" hidden="false" customHeight="false" outlineLevel="0" collapsed="false">
      <c r="A36" s="3" t="s">
        <v>35</v>
      </c>
    </row>
    <row r="37" customFormat="false" ht="15" hidden="false" customHeight="false" outlineLevel="0" collapsed="false">
      <c r="A37" s="4" t="s">
        <v>36</v>
      </c>
      <c r="C37" s="8" t="n">
        <v>0.275</v>
      </c>
    </row>
    <row r="38" customFormat="false" ht="15" hidden="false" customHeight="false" outlineLevel="0" collapsed="false">
      <c r="A38" s="4" t="s">
        <v>37</v>
      </c>
      <c r="C38" s="10" t="n">
        <v>0.1</v>
      </c>
    </row>
    <row r="39" customFormat="false" ht="15" hidden="false" customHeight="false" outlineLevel="0" collapsed="false">
      <c r="A39" s="4" t="s">
        <v>38</v>
      </c>
      <c r="C39" s="10" t="n">
        <v>0.05</v>
      </c>
    </row>
    <row r="40" customFormat="false" ht="15" hidden="false" customHeight="false" outlineLevel="0" collapsed="false">
      <c r="A40" s="3" t="s">
        <v>39</v>
      </c>
    </row>
    <row r="41" customFormat="false" ht="15" hidden="false" customHeight="false" outlineLevel="0" collapsed="false">
      <c r="A41" s="4" t="s">
        <v>40</v>
      </c>
      <c r="C41" s="14" t="n">
        <v>150</v>
      </c>
    </row>
    <row r="42" customFormat="false" ht="15" hidden="false" customHeight="false" outlineLevel="0" collapsed="false">
      <c r="A42" s="4" t="s">
        <v>41</v>
      </c>
      <c r="C42" s="14" t="n">
        <v>8500</v>
      </c>
    </row>
    <row r="43" customFormat="false" ht="15" hidden="false" customHeight="false" outlineLevel="0" collapsed="false">
      <c r="A43" s="4" t="s">
        <v>42</v>
      </c>
      <c r="C43" s="14" t="n">
        <v>150</v>
      </c>
    </row>
    <row r="45" customFormat="false" ht="15" hidden="false" customHeight="false" outlineLevel="0" collapsed="false">
      <c r="A45" s="3" t="s">
        <v>43</v>
      </c>
    </row>
    <row r="46" customFormat="false" ht="15" hidden="false" customHeight="false" outlineLevel="0" collapsed="false">
      <c r="C46" s="15" t="s">
        <v>44</v>
      </c>
      <c r="D46" s="15" t="s">
        <v>45</v>
      </c>
      <c r="E46" s="15" t="s">
        <v>46</v>
      </c>
      <c r="F46" s="15" t="s">
        <v>47</v>
      </c>
      <c r="G46" s="15" t="s">
        <v>48</v>
      </c>
    </row>
    <row r="47" customFormat="false" ht="15" hidden="false" customHeight="false" outlineLevel="0" collapsed="false">
      <c r="A47" s="4" t="s">
        <v>49</v>
      </c>
      <c r="C47" s="12" t="n">
        <v>2</v>
      </c>
      <c r="D47" s="12" t="n">
        <v>0</v>
      </c>
      <c r="E47" s="12" t="n">
        <v>0</v>
      </c>
      <c r="F47" s="12" t="n">
        <v>0</v>
      </c>
      <c r="G47" s="12" t="n">
        <v>0</v>
      </c>
    </row>
    <row r="48" customFormat="false" ht="15" hidden="false" customHeight="false" outlineLevel="0" collapsed="false">
      <c r="A48" s="4" t="s">
        <v>50</v>
      </c>
      <c r="C48" s="11" t="n">
        <v>0</v>
      </c>
      <c r="D48" s="11" t="n">
        <v>1</v>
      </c>
      <c r="E48" s="11" t="n">
        <v>2</v>
      </c>
      <c r="F48" s="11" t="n">
        <v>1</v>
      </c>
      <c r="G48" s="11" t="n">
        <v>2</v>
      </c>
    </row>
    <row r="49" customFormat="false" ht="15" hidden="false" customHeight="false" outlineLevel="0" collapsed="false">
      <c r="A49" s="4" t="s">
        <v>51</v>
      </c>
      <c r="C49" s="11" t="n">
        <v>0</v>
      </c>
      <c r="D49" s="11" t="n">
        <v>1</v>
      </c>
      <c r="E49" s="11" t="n">
        <v>1</v>
      </c>
      <c r="F49" s="11" t="n">
        <v>2</v>
      </c>
      <c r="G49" s="11" t="n">
        <v>2</v>
      </c>
    </row>
    <row r="50" customFormat="false" ht="15" hidden="false" customHeight="false" outlineLevel="0" collapsed="false">
      <c r="A50" s="4" t="s">
        <v>52</v>
      </c>
      <c r="C50" s="12" t="n">
        <v>0</v>
      </c>
      <c r="D50" s="12" t="n">
        <v>0</v>
      </c>
      <c r="E50" s="12" t="n">
        <v>1</v>
      </c>
      <c r="F50" s="12" t="n">
        <v>2</v>
      </c>
      <c r="G50" s="12" t="n">
        <v>3</v>
      </c>
    </row>
    <row r="51" customFormat="false" ht="15" hidden="false" customHeight="false" outlineLevel="0" collapsed="false">
      <c r="A51" s="4" t="s">
        <v>53</v>
      </c>
      <c r="C51" s="5" t="n">
        <v>0</v>
      </c>
      <c r="D51" s="5" t="n">
        <v>0</v>
      </c>
      <c r="E51" s="5" t="n">
        <v>40</v>
      </c>
      <c r="F51" s="5" t="n">
        <v>150</v>
      </c>
      <c r="G51" s="5" t="n">
        <v>400</v>
      </c>
    </row>
    <row r="52" customFormat="false" ht="15" hidden="false" customHeight="false" outlineLevel="0" collapsed="false">
      <c r="A52" s="4" t="s">
        <v>54</v>
      </c>
      <c r="C52" s="12" t="n">
        <v>0</v>
      </c>
      <c r="D52" s="12" t="n">
        <v>1</v>
      </c>
      <c r="E52" s="12" t="n">
        <v>2</v>
      </c>
      <c r="F52" s="12" t="n">
        <v>4</v>
      </c>
      <c r="G52" s="12" t="n">
        <v>5</v>
      </c>
    </row>
    <row r="53" customFormat="false" ht="15" hidden="false" customHeight="false" outlineLevel="0" collapsed="false">
      <c r="A53" s="4" t="s">
        <v>55</v>
      </c>
      <c r="C53" s="14" t="n">
        <v>0</v>
      </c>
      <c r="D53" s="14" t="n">
        <v>2</v>
      </c>
      <c r="E53" s="14" t="n">
        <v>6</v>
      </c>
      <c r="F53" s="14" t="n">
        <v>12</v>
      </c>
      <c r="G53" s="14" t="n">
        <v>20</v>
      </c>
    </row>
    <row r="54" customFormat="false" ht="15" hidden="false" customHeight="false" outlineLevel="0" collapsed="false">
      <c r="A54" s="4" t="s">
        <v>56</v>
      </c>
      <c r="C54" s="12" t="n">
        <v>0</v>
      </c>
      <c r="D54" s="12" t="n">
        <v>0</v>
      </c>
      <c r="E54" s="12" t="n">
        <v>0</v>
      </c>
      <c r="F54" s="12" t="n">
        <v>1</v>
      </c>
      <c r="G54" s="12" t="n">
        <v>2</v>
      </c>
    </row>
    <row r="55" customFormat="false" ht="15" hidden="false" customHeight="false" outlineLevel="0" collapsed="false">
      <c r="A55" s="4" t="s">
        <v>57</v>
      </c>
      <c r="C55" s="12" t="n">
        <v>3</v>
      </c>
      <c r="D55" s="12" t="n">
        <v>4</v>
      </c>
      <c r="E55" s="12" t="n">
        <v>5</v>
      </c>
      <c r="F55" s="12" t="n">
        <v>7</v>
      </c>
      <c r="G55" s="12" t="n">
        <v>9</v>
      </c>
    </row>
    <row r="56" customFormat="false" ht="15" hidden="false" customHeight="false" outlineLevel="0" collapsed="false">
      <c r="A56" s="4" t="s">
        <v>58</v>
      </c>
      <c r="C56" s="12" t="n">
        <v>0.5</v>
      </c>
      <c r="D56" s="12" t="n">
        <v>1</v>
      </c>
      <c r="E56" s="12" t="n">
        <v>2</v>
      </c>
      <c r="F56" s="12" t="n">
        <v>2.5</v>
      </c>
      <c r="G56" s="12" t="n">
        <v>3</v>
      </c>
    </row>
    <row r="57" customFormat="false" ht="15" hidden="false" customHeight="false" outlineLevel="0" collapsed="false">
      <c r="A57" s="4" t="s">
        <v>59</v>
      </c>
      <c r="C57" s="12" t="n">
        <v>0</v>
      </c>
      <c r="D57" s="12" t="n">
        <v>0.5</v>
      </c>
      <c r="E57" s="12" t="n">
        <v>1.5</v>
      </c>
      <c r="F57" s="12" t="n">
        <v>2.5</v>
      </c>
      <c r="G57" s="12" t="n">
        <v>3.5</v>
      </c>
    </row>
    <row r="58" customFormat="false" ht="15" hidden="false" customHeight="false" outlineLevel="0" collapsed="false">
      <c r="A58" s="4" t="s">
        <v>60</v>
      </c>
      <c r="C58" s="12" t="n">
        <v>0.5</v>
      </c>
      <c r="D58" s="12" t="n">
        <v>1</v>
      </c>
      <c r="E58" s="12" t="n">
        <v>1.5</v>
      </c>
      <c r="F58" s="12" t="n">
        <v>2</v>
      </c>
      <c r="G58" s="12" t="n">
        <v>3</v>
      </c>
    </row>
    <row r="59" customFormat="false" ht="15" hidden="false" customHeight="false" outlineLevel="0" collapsed="false">
      <c r="A59" s="4" t="s">
        <v>61</v>
      </c>
      <c r="C59" s="9" t="n">
        <v>0.4</v>
      </c>
      <c r="D59" s="9" t="n">
        <v>0.55</v>
      </c>
      <c r="E59" s="9" t="n">
        <v>0.8</v>
      </c>
      <c r="F59" s="9" t="n">
        <v>1</v>
      </c>
      <c r="G59" s="9" t="n">
        <v>1.3</v>
      </c>
    </row>
    <row r="61" customFormat="false" ht="15" hidden="false" customHeight="false" outlineLevel="0" collapsed="false">
      <c r="A61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3" t="str">
        <f aca="false">"Active scenario: "&amp;INDEX({"Downside","Base","Upside"},Assumptions!$C$5)</f>
        <v>Active scenario: Base</v>
      </c>
    </row>
    <row r="4" customFormat="false" ht="15" hidden="false" customHeight="false" outlineLevel="0" collapsed="false">
      <c r="C4" s="15" t="s">
        <v>44</v>
      </c>
      <c r="D4" s="15" t="s">
        <v>45</v>
      </c>
      <c r="E4" s="15" t="s">
        <v>46</v>
      </c>
      <c r="F4" s="15" t="s">
        <v>47</v>
      </c>
      <c r="G4" s="15" t="s">
        <v>48</v>
      </c>
    </row>
    <row r="5" customFormat="false" ht="15" hidden="false" customHeight="false" outlineLevel="0" collapsed="false">
      <c r="A5" s="3" t="s">
        <v>64</v>
      </c>
    </row>
    <row r="6" customFormat="false" ht="15" hidden="false" customHeight="false" outlineLevel="0" collapsed="false">
      <c r="A6" s="4" t="s">
        <v>65</v>
      </c>
      <c r="C6" s="16" t="n">
        <f aca="false">Assumptions!C47</f>
        <v>2</v>
      </c>
      <c r="D6" s="16" t="n">
        <f aca="false">Assumptions!D47</f>
        <v>0</v>
      </c>
      <c r="E6" s="16" t="n">
        <f aca="false">Assumptions!E47</f>
        <v>0</v>
      </c>
      <c r="F6" s="16" t="n">
        <f aca="false">Assumptions!F47</f>
        <v>0</v>
      </c>
      <c r="G6" s="16" t="n">
        <f aca="false">Assumptions!G47</f>
        <v>0</v>
      </c>
    </row>
    <row r="7" customFormat="false" ht="15" hidden="false" customHeight="false" outlineLevel="0" collapsed="false">
      <c r="A7" s="4" t="s">
        <v>66</v>
      </c>
      <c r="C7" s="16" t="n">
        <f aca="false">Assumptions!C48*Assumptions!$C$9</f>
        <v>0</v>
      </c>
      <c r="D7" s="16" t="n">
        <f aca="false">Assumptions!D48*Assumptions!$C$9</f>
        <v>1</v>
      </c>
      <c r="E7" s="16" t="n">
        <f aca="false">Assumptions!E48*Assumptions!$C$9</f>
        <v>2</v>
      </c>
      <c r="F7" s="16" t="n">
        <f aca="false">Assumptions!F48*Assumptions!$C$9</f>
        <v>1</v>
      </c>
      <c r="G7" s="16" t="n">
        <f aca="false">Assumptions!G48*Assumptions!$C$9</f>
        <v>2</v>
      </c>
    </row>
    <row r="8" customFormat="false" ht="15" hidden="false" customHeight="false" outlineLevel="0" collapsed="false">
      <c r="A8" s="4" t="s">
        <v>67</v>
      </c>
      <c r="C8" s="16" t="n">
        <f aca="false">Assumptions!C49*Assumptions!$C$9</f>
        <v>0</v>
      </c>
      <c r="D8" s="16" t="n">
        <f aca="false">Assumptions!D49*Assumptions!$C$9</f>
        <v>1</v>
      </c>
      <c r="E8" s="16" t="n">
        <f aca="false">Assumptions!E49*Assumptions!$C$9</f>
        <v>1</v>
      </c>
      <c r="F8" s="16" t="n">
        <f aca="false">Assumptions!F49*Assumptions!$C$9</f>
        <v>2</v>
      </c>
      <c r="G8" s="16" t="n">
        <f aca="false">Assumptions!G49*Assumptions!$C$9</f>
        <v>2</v>
      </c>
    </row>
    <row r="9" customFormat="false" ht="15" hidden="false" customHeight="false" outlineLevel="0" collapsed="false">
      <c r="A9" s="4" t="s">
        <v>68</v>
      </c>
      <c r="C9" s="16" t="n">
        <f aca="false">C6</f>
        <v>2</v>
      </c>
      <c r="D9" s="16" t="n">
        <f aca="false">C9+D6</f>
        <v>2</v>
      </c>
      <c r="E9" s="16" t="n">
        <f aca="false">D9+E6</f>
        <v>2</v>
      </c>
      <c r="F9" s="16" t="n">
        <f aca="false">E9+F6</f>
        <v>2</v>
      </c>
      <c r="G9" s="16" t="n">
        <f aca="false">F9+G6</f>
        <v>2</v>
      </c>
    </row>
    <row r="10" customFormat="false" ht="15" hidden="false" customHeight="false" outlineLevel="0" collapsed="false">
      <c r="A10" s="4" t="s">
        <v>69</v>
      </c>
      <c r="C10" s="16" t="n">
        <f aca="false">C7</f>
        <v>0</v>
      </c>
      <c r="D10" s="16" t="n">
        <f aca="false">C10+D7</f>
        <v>1</v>
      </c>
      <c r="E10" s="16" t="n">
        <f aca="false">D10+E7</f>
        <v>3</v>
      </c>
      <c r="F10" s="16" t="n">
        <f aca="false">E10+F7</f>
        <v>4</v>
      </c>
      <c r="G10" s="16" t="n">
        <f aca="false">F10+G7</f>
        <v>6</v>
      </c>
    </row>
    <row r="11" customFormat="false" ht="15" hidden="false" customHeight="false" outlineLevel="0" collapsed="false">
      <c r="A11" s="4" t="s">
        <v>70</v>
      </c>
      <c r="C11" s="16" t="n">
        <f aca="false">C8</f>
        <v>0</v>
      </c>
      <c r="D11" s="16" t="n">
        <f aca="false">C11+D8</f>
        <v>1</v>
      </c>
      <c r="E11" s="16" t="n">
        <f aca="false">D11+E8</f>
        <v>2</v>
      </c>
      <c r="F11" s="16" t="n">
        <f aca="false">E11+F8</f>
        <v>4</v>
      </c>
      <c r="G11" s="16" t="n">
        <f aca="false">F11+G8</f>
        <v>6</v>
      </c>
    </row>
    <row r="12" customFormat="false" ht="15" hidden="false" customHeight="false" outlineLevel="0" collapsed="false">
      <c r="A12" s="3" t="s">
        <v>71</v>
      </c>
      <c r="C12" s="17" t="n">
        <f aca="false">C9+C10+C11</f>
        <v>2</v>
      </c>
      <c r="D12" s="17" t="n">
        <f aca="false">D9+D10+D11</f>
        <v>4</v>
      </c>
      <c r="E12" s="17" t="n">
        <f aca="false">E9+E10+E11</f>
        <v>7</v>
      </c>
      <c r="F12" s="17" t="n">
        <f aca="false">F9+F10+F11</f>
        <v>10</v>
      </c>
      <c r="G12" s="17" t="n">
        <f aca="false">G9+G10+G11</f>
        <v>14</v>
      </c>
    </row>
    <row r="13" customFormat="false" ht="15" hidden="false" customHeight="false" outlineLevel="0" collapsed="false">
      <c r="A13" s="4" t="s">
        <v>72</v>
      </c>
      <c r="C13" s="18" t="n">
        <f aca="false">IFERROR(C12/Assumptions!$C$41,0)</f>
        <v>0.0133333333333333</v>
      </c>
      <c r="D13" s="18" t="n">
        <f aca="false">IFERROR(D12/Assumptions!$C$41,0)</f>
        <v>0.0266666666666667</v>
      </c>
      <c r="E13" s="18" t="n">
        <f aca="false">IFERROR(E12/Assumptions!$C$41,0)</f>
        <v>0.0466666666666667</v>
      </c>
      <c r="F13" s="18" t="n">
        <f aca="false">IFERROR(F12/Assumptions!$C$41,0)</f>
        <v>0.0666666666666667</v>
      </c>
      <c r="G13" s="18" t="n">
        <f aca="false">IFERROR(G12/Assumptions!$C$41,0)</f>
        <v>0.0933333333333333</v>
      </c>
    </row>
    <row r="14" customFormat="false" ht="15" hidden="false" customHeight="false" outlineLevel="0" collapsed="false">
      <c r="A14" s="3" t="s">
        <v>73</v>
      </c>
    </row>
    <row r="15" customFormat="false" ht="15" hidden="false" customHeight="false" outlineLevel="0" collapsed="false">
      <c r="A15" s="4" t="s">
        <v>74</v>
      </c>
      <c r="C15" s="19" t="n">
        <f aca="false">C6*Assumptions!$C$13+C7*Assumptions!$C$11+C8*Assumptions!$C$12</f>
        <v>0.5</v>
      </c>
      <c r="D15" s="19" t="n">
        <f aca="false">D6*Assumptions!$C$13+D7*Assumptions!$C$11+D8*Assumptions!$C$12</f>
        <v>1.15</v>
      </c>
      <c r="E15" s="19" t="n">
        <f aca="false">E6*Assumptions!$C$13+E7*Assumptions!$C$11+E8*Assumptions!$C$12</f>
        <v>1.95</v>
      </c>
      <c r="F15" s="19" t="n">
        <f aca="false">F6*Assumptions!$C$13+F7*Assumptions!$C$11+F8*Assumptions!$C$12</f>
        <v>1.5</v>
      </c>
      <c r="G15" s="19" t="n">
        <f aca="false">G6*Assumptions!$C$13+G7*Assumptions!$C$11+G8*Assumptions!$C$12</f>
        <v>2.3</v>
      </c>
    </row>
    <row r="16" customFormat="false" ht="15" hidden="false" customHeight="false" outlineLevel="0" collapsed="false">
      <c r="A16" s="4" t="s">
        <v>75</v>
      </c>
      <c r="C16" s="19" t="n">
        <f aca="false">Assumptions!$C$14*C15</f>
        <v>0.4</v>
      </c>
      <c r="D16" s="19" t="n">
        <f aca="false">Assumptions!$C$14*D15+(1-Assumptions!$C$14)*C15</f>
        <v>1.02</v>
      </c>
      <c r="E16" s="19" t="n">
        <f aca="false">Assumptions!$C$14*E15+(1-Assumptions!$C$14)*D15</f>
        <v>1.79</v>
      </c>
      <c r="F16" s="19" t="n">
        <f aca="false">Assumptions!$C$14*F15+(1-Assumptions!$C$14)*E15</f>
        <v>1.59</v>
      </c>
      <c r="G16" s="19" t="n">
        <f aca="false">Assumptions!$C$14*G15+(1-Assumptions!$C$14)*F15</f>
        <v>2.14</v>
      </c>
    </row>
    <row r="17" customFormat="false" ht="15" hidden="false" customHeight="false" outlineLevel="0" collapsed="false">
      <c r="A17" s="4" t="s">
        <v>76</v>
      </c>
      <c r="C17" s="19" t="n">
        <f aca="false">C6*Assumptions!$C$17+C7*Assumptions!$C$15+C8*Assumptions!$C$16</f>
        <v>0.3</v>
      </c>
      <c r="D17" s="19" t="n">
        <f aca="false">D6*Assumptions!$C$17+D7*Assumptions!$C$15+D8*Assumptions!$C$16</f>
        <v>0.4</v>
      </c>
      <c r="E17" s="19" t="n">
        <f aca="false">E6*Assumptions!$C$17+E7*Assumptions!$C$15+E8*Assumptions!$C$16</f>
        <v>0.65</v>
      </c>
      <c r="F17" s="19" t="n">
        <f aca="false">F6*Assumptions!$C$17+F7*Assumptions!$C$15+F8*Assumptions!$C$16</f>
        <v>0.55</v>
      </c>
      <c r="G17" s="19" t="n">
        <f aca="false">G6*Assumptions!$C$17+G7*Assumptions!$C$15+G8*Assumptions!$C$16</f>
        <v>0.8</v>
      </c>
    </row>
    <row r="18" customFormat="false" ht="15" hidden="false" customHeight="false" outlineLevel="0" collapsed="false">
      <c r="A18" s="4" t="s">
        <v>77</v>
      </c>
      <c r="C18" s="19" t="n">
        <f aca="false">0</f>
        <v>0</v>
      </c>
      <c r="D18" s="19" t="n">
        <f aca="false">C9*Assumptions!$C$19+C10*Assumptions!$C$11*Assumptions!$C$18+C11*Assumptions!$C$12*Assumptions!$C$18</f>
        <v>0.3</v>
      </c>
      <c r="E18" s="19" t="n">
        <f aca="false">D9*Assumptions!$C$19+D10*Assumptions!$C$11*Assumptions!$C$18+D11*Assumptions!$C$12*Assumptions!$C$18</f>
        <v>0.53</v>
      </c>
      <c r="F18" s="19" t="n">
        <f aca="false">E9*Assumptions!$C$19+E10*Assumptions!$C$11*Assumptions!$C$18+E11*Assumptions!$C$12*Assumptions!$C$18</f>
        <v>0.92</v>
      </c>
      <c r="G18" s="19" t="n">
        <f aca="false">F9*Assumptions!$C$19+F10*Assumptions!$C$11*Assumptions!$C$18+F11*Assumptions!$C$12*Assumptions!$C$18</f>
        <v>1.22</v>
      </c>
    </row>
    <row r="19" customFormat="false" ht="15" hidden="false" customHeight="false" outlineLevel="0" collapsed="false">
      <c r="A19" s="4" t="s">
        <v>78</v>
      </c>
      <c r="C19" s="19" t="n">
        <f aca="false">0</f>
        <v>0</v>
      </c>
      <c r="D19" s="19" t="n">
        <f aca="false">C9*Assumptions!$C$22+C10*Assumptions!$C$20+C11*Assumptions!$C$21</f>
        <v>0.3</v>
      </c>
      <c r="E19" s="19" t="n">
        <f aca="false">D9*Assumptions!$C$22+D10*Assumptions!$C$20+D11*Assumptions!$C$21</f>
        <v>0.525</v>
      </c>
      <c r="F19" s="19" t="n">
        <f aca="false">E9*Assumptions!$C$22+E10*Assumptions!$C$20+E11*Assumptions!$C$21</f>
        <v>0.9</v>
      </c>
      <c r="G19" s="19" t="n">
        <f aca="false">F9*Assumptions!$C$22+F10*Assumptions!$C$20+F11*Assumptions!$C$21</f>
        <v>1.2</v>
      </c>
    </row>
    <row r="20" customFormat="false" ht="15" hidden="false" customHeight="false" outlineLevel="0" collapsed="false">
      <c r="A20" s="3" t="s">
        <v>79</v>
      </c>
      <c r="C20" s="20" t="n">
        <f aca="false">SUM(C16:C19)</f>
        <v>0.7</v>
      </c>
      <c r="D20" s="20" t="n">
        <f aca="false">SUM(D16:D19)</f>
        <v>2.02</v>
      </c>
      <c r="E20" s="20" t="n">
        <f aca="false">SUM(E16:E19)</f>
        <v>3.495</v>
      </c>
      <c r="F20" s="20" t="n">
        <f aca="false">SUM(F16:F19)</f>
        <v>3.96</v>
      </c>
      <c r="G20" s="20" t="n">
        <f aca="false">SUM(G16:G19)</f>
        <v>5.36</v>
      </c>
    </row>
    <row r="21" customFormat="false" ht="15" hidden="false" customHeight="false" outlineLevel="0" collapsed="false">
      <c r="A21" s="4" t="s">
        <v>80</v>
      </c>
      <c r="C21" s="19" t="n">
        <f aca="false">Assumptions!C50*Assumptions!$C$9*Assumptions!$C$31</f>
        <v>0</v>
      </c>
      <c r="D21" s="19" t="n">
        <f aca="false">Assumptions!D50*Assumptions!$C$9*Assumptions!$C$31</f>
        <v>0</v>
      </c>
      <c r="E21" s="19" t="n">
        <f aca="false">Assumptions!E50*Assumptions!$C$9*Assumptions!$C$31</f>
        <v>0.35</v>
      </c>
      <c r="F21" s="19" t="n">
        <f aca="false">Assumptions!F50*Assumptions!$C$9*Assumptions!$C$31</f>
        <v>0.7</v>
      </c>
      <c r="G21" s="19" t="n">
        <f aca="false">Assumptions!G50*Assumptions!$C$9*Assumptions!$C$31</f>
        <v>1.05</v>
      </c>
    </row>
    <row r="22" customFormat="false" ht="15" hidden="false" customHeight="false" outlineLevel="0" collapsed="false">
      <c r="A22" s="4" t="s">
        <v>81</v>
      </c>
      <c r="C22" s="19" t="n">
        <f aca="false">Assumptions!C51*Assumptions!$C$9*Assumptions!$C$32</f>
        <v>0</v>
      </c>
      <c r="D22" s="19" t="n">
        <f aca="false">Assumptions!D51*Assumptions!$C$9*Assumptions!$C$32</f>
        <v>0</v>
      </c>
      <c r="E22" s="19" t="n">
        <f aca="false">Assumptions!E51*Assumptions!$C$9*Assumptions!$C$32</f>
        <v>0.32</v>
      </c>
      <c r="F22" s="19" t="n">
        <f aca="false">Assumptions!F51*Assumptions!$C$9*Assumptions!$C$32</f>
        <v>1.2</v>
      </c>
      <c r="G22" s="19" t="n">
        <f aca="false">Assumptions!G51*Assumptions!$C$9*Assumptions!$C$32</f>
        <v>3.2</v>
      </c>
    </row>
    <row r="23" customFormat="false" ht="15" hidden="false" customHeight="false" outlineLevel="0" collapsed="false">
      <c r="A23" s="4" t="s">
        <v>82</v>
      </c>
      <c r="C23" s="19" t="n">
        <f aca="false">Assumptions!C52*Assumptions!$C$9*Assumptions!$C$33</f>
        <v>0</v>
      </c>
      <c r="D23" s="19" t="n">
        <f aca="false">Assumptions!D52*Assumptions!$C$9*Assumptions!$C$33</f>
        <v>0.15</v>
      </c>
      <c r="E23" s="19" t="n">
        <f aca="false">Assumptions!E52*Assumptions!$C$9*Assumptions!$C$33</f>
        <v>0.3</v>
      </c>
      <c r="F23" s="19" t="n">
        <f aca="false">Assumptions!F52*Assumptions!$C$9*Assumptions!$C$33</f>
        <v>0.6</v>
      </c>
      <c r="G23" s="19" t="n">
        <f aca="false">Assumptions!G52*Assumptions!$C$9*Assumptions!$C$33</f>
        <v>0.75</v>
      </c>
    </row>
    <row r="24" customFormat="false" ht="15" hidden="false" customHeight="false" outlineLevel="0" collapsed="false">
      <c r="A24" s="4" t="s">
        <v>83</v>
      </c>
      <c r="C24" s="19" t="n">
        <f aca="false">Assumptions!C53*Assumptions!$C$9*Assumptions!$C$34</f>
        <v>0</v>
      </c>
      <c r="D24" s="19" t="n">
        <f aca="false">Assumptions!D53*Assumptions!$C$9*Assumptions!$C$34</f>
        <v>0.2</v>
      </c>
      <c r="E24" s="19" t="n">
        <f aca="false">Assumptions!E53*Assumptions!$C$9*Assumptions!$C$34</f>
        <v>0.6</v>
      </c>
      <c r="F24" s="19" t="n">
        <f aca="false">Assumptions!F53*Assumptions!$C$9*Assumptions!$C$34</f>
        <v>1.2</v>
      </c>
      <c r="G24" s="19" t="n">
        <f aca="false">Assumptions!G53*Assumptions!$C$9*Assumptions!$C$34</f>
        <v>2</v>
      </c>
    </row>
    <row r="25" customFormat="false" ht="15" hidden="false" customHeight="false" outlineLevel="0" collapsed="false">
      <c r="A25" s="4" t="s">
        <v>84</v>
      </c>
      <c r="C25" s="19" t="n">
        <f aca="false">Assumptions!C54*Assumptions!$C$9*Assumptions!$C$35</f>
        <v>0</v>
      </c>
      <c r="D25" s="19" t="n">
        <f aca="false">Assumptions!D54*Assumptions!$C$9*Assumptions!$C$35</f>
        <v>0</v>
      </c>
      <c r="E25" s="19" t="n">
        <f aca="false">Assumptions!E54*Assumptions!$C$9*Assumptions!$C$35</f>
        <v>0</v>
      </c>
      <c r="F25" s="19" t="n">
        <f aca="false">Assumptions!F54*Assumptions!$C$9*Assumptions!$C$35</f>
        <v>0.5</v>
      </c>
      <c r="G25" s="19" t="n">
        <f aca="false">Assumptions!G54*Assumptions!$C$9*Assumptions!$C$35</f>
        <v>1</v>
      </c>
    </row>
    <row r="26" customFormat="false" ht="15" hidden="false" customHeight="false" outlineLevel="0" collapsed="false">
      <c r="A26" s="3" t="s">
        <v>85</v>
      </c>
      <c r="C26" s="20" t="n">
        <f aca="false">SUM(C21:C25)</f>
        <v>0</v>
      </c>
      <c r="D26" s="20" t="n">
        <f aca="false">SUM(D21:D25)</f>
        <v>0.35</v>
      </c>
      <c r="E26" s="20" t="n">
        <f aca="false">SUM(E21:E25)</f>
        <v>1.57</v>
      </c>
      <c r="F26" s="20" t="n">
        <f aca="false">SUM(F21:F25)</f>
        <v>4.2</v>
      </c>
      <c r="G26" s="20" t="n">
        <f aca="false">SUM(G21:G25)</f>
        <v>8</v>
      </c>
    </row>
    <row r="27" customFormat="false" ht="15" hidden="false" customHeight="false" outlineLevel="0" collapsed="false">
      <c r="A27" s="3" t="s">
        <v>86</v>
      </c>
      <c r="C27" s="20" t="n">
        <f aca="false">C20+C26</f>
        <v>0.7</v>
      </c>
      <c r="D27" s="20" t="n">
        <f aca="false">D20+D26</f>
        <v>2.37</v>
      </c>
      <c r="E27" s="20" t="n">
        <f aca="false">E20+E26</f>
        <v>5.065</v>
      </c>
      <c r="F27" s="20" t="n">
        <f aca="false">F20+F26</f>
        <v>8.16</v>
      </c>
      <c r="G27" s="20" t="n">
        <f aca="false">G20+G26</f>
        <v>13.36</v>
      </c>
    </row>
    <row r="28" customFormat="false" ht="15" hidden="false" customHeight="false" outlineLevel="0" collapsed="false">
      <c r="A28" s="4" t="s">
        <v>87</v>
      </c>
      <c r="C28" s="19" t="n">
        <f aca="false">C18+C21+C22+C23+C25</f>
        <v>0</v>
      </c>
      <c r="D28" s="19" t="n">
        <f aca="false">D18+D21+D22+D23+D25</f>
        <v>0.45</v>
      </c>
      <c r="E28" s="19" t="n">
        <f aca="false">E18+E21+E22+E23+E25</f>
        <v>1.5</v>
      </c>
      <c r="F28" s="19" t="n">
        <f aca="false">F18+F21+F22+F23+F25</f>
        <v>3.92</v>
      </c>
      <c r="G28" s="19" t="n">
        <f aca="false">G18+G21+G22+G23+G25</f>
        <v>7.22</v>
      </c>
    </row>
    <row r="29" customFormat="false" ht="15" hidden="false" customHeight="false" outlineLevel="0" collapsed="false">
      <c r="A29" s="4" t="s">
        <v>88</v>
      </c>
      <c r="C29" s="18" t="n">
        <f aca="false">IFERROR(C28/C27,0)</f>
        <v>0</v>
      </c>
      <c r="D29" s="18" t="n">
        <f aca="false">IFERROR(D28/D27,0)</f>
        <v>0.189873417721519</v>
      </c>
      <c r="E29" s="18" t="n">
        <f aca="false">IFERROR(E28/E27,0)</f>
        <v>0.296150049358342</v>
      </c>
      <c r="F29" s="18" t="n">
        <f aca="false">IFERROR(F28/F27,0)</f>
        <v>0.480392156862745</v>
      </c>
      <c r="G29" s="18" t="n">
        <f aca="false">IFERROR(G28/G27,0)</f>
        <v>0.540419161676647</v>
      </c>
    </row>
    <row r="30" customFormat="false" ht="15" hidden="false" customHeight="false" outlineLevel="0" collapsed="false">
      <c r="A30" s="4" t="s">
        <v>89</v>
      </c>
      <c r="C30" s="18" t="n">
        <f aca="false">IFERROR(C26/C27,0)</f>
        <v>0</v>
      </c>
      <c r="D30" s="18" t="n">
        <f aca="false">IFERROR(D26/D27,0)</f>
        <v>0.147679324894515</v>
      </c>
      <c r="E30" s="18" t="n">
        <f aca="false">IFERROR(E26/E27,0)</f>
        <v>0.309970384995064</v>
      </c>
      <c r="F30" s="18" t="n">
        <f aca="false">IFERROR(F26/F27,0)</f>
        <v>0.514705882352941</v>
      </c>
      <c r="G30" s="18" t="n">
        <f aca="false">IFERROR(G26/G27,0)</f>
        <v>0.598802395209581</v>
      </c>
    </row>
    <row r="31" customFormat="false" ht="15" hidden="false" customHeight="false" outlineLevel="0" collapsed="false">
      <c r="A31" s="4" t="s">
        <v>90</v>
      </c>
      <c r="C31" s="18" t="n">
        <f aca="false">IFERROR(Assumptions!C51*Assumptions!$C$9/Assumptions!$C$42,0)</f>
        <v>0</v>
      </c>
      <c r="D31" s="18" t="n">
        <f aca="false">IFERROR(Assumptions!D51*Assumptions!$C$9/Assumptions!$C$42,0)</f>
        <v>0</v>
      </c>
      <c r="E31" s="18" t="n">
        <f aca="false">IFERROR(Assumptions!E51*Assumptions!$C$9/Assumptions!$C$42,0)</f>
        <v>0.00470588235294118</v>
      </c>
      <c r="F31" s="18" t="n">
        <f aca="false">IFERROR(Assumptions!F51*Assumptions!$C$9/Assumptions!$C$42,0)</f>
        <v>0.0176470588235294</v>
      </c>
      <c r="G31" s="18" t="n">
        <f aca="false">IFERROR(Assumptions!G51*Assumptions!$C$9/Assumptions!$C$42,0)</f>
        <v>0.0470588235294118</v>
      </c>
    </row>
    <row r="32" customFormat="false" ht="15" hidden="false" customHeight="false" outlineLevel="0" collapsed="false">
      <c r="A32" s="3" t="s">
        <v>91</v>
      </c>
    </row>
    <row r="33" customFormat="false" ht="15" hidden="false" customHeight="false" outlineLevel="0" collapsed="false">
      <c r="A33" s="4" t="s">
        <v>92</v>
      </c>
      <c r="C33" s="16" t="n">
        <f aca="false">MAX(Assumptions!$C$29,C6*Assumptions!$C$26+C7*Assumptions!$C$24+C8*Assumptions!$C$25)</f>
        <v>1.5</v>
      </c>
      <c r="D33" s="16" t="n">
        <f aca="false">MAX(Assumptions!$C$29,D6*Assumptions!$C$26+D7*Assumptions!$C$24+D8*Assumptions!$C$25+(C9+C10)*Assumptions!$C$27+C11*Assumptions!$C$28)</f>
        <v>1.5</v>
      </c>
      <c r="E33" s="16" t="n">
        <f aca="false">MAX(Assumptions!$C$29,E6*Assumptions!$C$26+E7*Assumptions!$C$24+E8*Assumptions!$C$25+(D9+D10)*Assumptions!$C$27+D11*Assumptions!$C$28)</f>
        <v>1.75</v>
      </c>
      <c r="F33" s="16" t="n">
        <f aca="false">MAX(Assumptions!$C$29,F6*Assumptions!$C$26+F7*Assumptions!$C$24+F8*Assumptions!$C$25+(E9+E10)*Assumptions!$C$27+E11*Assumptions!$C$28)</f>
        <v>2.35</v>
      </c>
      <c r="G33" s="16" t="n">
        <f aca="false">MAX(Assumptions!$C$29,G6*Assumptions!$C$26+G7*Assumptions!$C$24+G8*Assumptions!$C$25+(F9+F10)*Assumptions!$C$27+F11*Assumptions!$C$28)</f>
        <v>3.2</v>
      </c>
    </row>
    <row r="34" customFormat="false" ht="15" hidden="false" customHeight="false" outlineLevel="0" collapsed="false">
      <c r="A34" s="4" t="s">
        <v>93</v>
      </c>
      <c r="C34" s="16" t="n">
        <f aca="false">Assumptions!C55</f>
        <v>3</v>
      </c>
      <c r="D34" s="16" t="n">
        <f aca="false">Assumptions!D55</f>
        <v>4</v>
      </c>
      <c r="E34" s="16" t="n">
        <f aca="false">Assumptions!E55</f>
        <v>5</v>
      </c>
      <c r="F34" s="16" t="n">
        <f aca="false">Assumptions!F55</f>
        <v>7</v>
      </c>
      <c r="G34" s="16" t="n">
        <f aca="false">Assumptions!G55</f>
        <v>9</v>
      </c>
    </row>
    <row r="35" customFormat="false" ht="15" hidden="false" customHeight="false" outlineLevel="0" collapsed="false">
      <c r="A35" s="4" t="s">
        <v>94</v>
      </c>
      <c r="C35" s="16" t="n">
        <f aca="false">Assumptions!C56</f>
        <v>0.5</v>
      </c>
      <c r="D35" s="16" t="n">
        <f aca="false">Assumptions!D56</f>
        <v>1</v>
      </c>
      <c r="E35" s="16" t="n">
        <f aca="false">Assumptions!E56</f>
        <v>2</v>
      </c>
      <c r="F35" s="16" t="n">
        <f aca="false">Assumptions!F56</f>
        <v>2.5</v>
      </c>
      <c r="G35" s="16" t="n">
        <f aca="false">Assumptions!G56</f>
        <v>3</v>
      </c>
    </row>
    <row r="36" customFormat="false" ht="15" hidden="false" customHeight="false" outlineLevel="0" collapsed="false">
      <c r="A36" s="4" t="s">
        <v>95</v>
      </c>
      <c r="C36" s="16" t="n">
        <f aca="false">Assumptions!C57</f>
        <v>0</v>
      </c>
      <c r="D36" s="16" t="n">
        <f aca="false">Assumptions!D57</f>
        <v>0.5</v>
      </c>
      <c r="E36" s="16" t="n">
        <f aca="false">Assumptions!E57</f>
        <v>1.5</v>
      </c>
      <c r="F36" s="16" t="n">
        <f aca="false">Assumptions!F57</f>
        <v>2.5</v>
      </c>
      <c r="G36" s="16" t="n">
        <f aca="false">Assumptions!G57</f>
        <v>3.5</v>
      </c>
    </row>
    <row r="37" customFormat="false" ht="15" hidden="false" customHeight="false" outlineLevel="0" collapsed="false">
      <c r="A37" s="4" t="s">
        <v>96</v>
      </c>
      <c r="C37" s="16" t="n">
        <f aca="false">Assumptions!C58</f>
        <v>0.5</v>
      </c>
      <c r="D37" s="16" t="n">
        <f aca="false">Assumptions!D58</f>
        <v>1</v>
      </c>
      <c r="E37" s="16" t="n">
        <f aca="false">Assumptions!E58</f>
        <v>1.5</v>
      </c>
      <c r="F37" s="16" t="n">
        <f aca="false">Assumptions!F58</f>
        <v>2</v>
      </c>
      <c r="G37" s="16" t="n">
        <f aca="false">Assumptions!G58</f>
        <v>3</v>
      </c>
    </row>
    <row r="38" customFormat="false" ht="15" hidden="false" customHeight="false" outlineLevel="0" collapsed="false">
      <c r="A38" s="3" t="s">
        <v>97</v>
      </c>
      <c r="C38" s="17" t="n">
        <f aca="false">SUM(C33:C37)</f>
        <v>5.5</v>
      </c>
      <c r="D38" s="17" t="n">
        <f aca="false">SUM(D33:D37)</f>
        <v>8</v>
      </c>
      <c r="E38" s="17" t="n">
        <f aca="false">SUM(E33:E37)</f>
        <v>11.75</v>
      </c>
      <c r="F38" s="17" t="n">
        <f aca="false">SUM(F33:F37)</f>
        <v>16.35</v>
      </c>
      <c r="G38" s="17" t="n">
        <f aca="false">SUM(G33:G37)</f>
        <v>21.7</v>
      </c>
    </row>
    <row r="39" customFormat="false" ht="15" hidden="false" customHeight="false" outlineLevel="0" collapsed="false">
      <c r="A39" s="3" t="s">
        <v>98</v>
      </c>
    </row>
    <row r="40" customFormat="false" ht="15" hidden="false" customHeight="false" outlineLevel="0" collapsed="false">
      <c r="A40" s="4" t="s">
        <v>99</v>
      </c>
      <c r="C40" s="19" t="n">
        <f aca="false">C38*Assumptions!$C$37</f>
        <v>1.5125</v>
      </c>
      <c r="D40" s="19" t="n">
        <f aca="false">D38*Assumptions!$C$37</f>
        <v>2.2</v>
      </c>
      <c r="E40" s="19" t="n">
        <f aca="false">E38*Assumptions!$C$37</f>
        <v>3.23125</v>
      </c>
      <c r="F40" s="19" t="n">
        <f aca="false">F38*Assumptions!$C$37</f>
        <v>4.49625</v>
      </c>
      <c r="G40" s="19" t="n">
        <f aca="false">G38*Assumptions!$C$37</f>
        <v>5.9675</v>
      </c>
    </row>
    <row r="41" customFormat="false" ht="15" hidden="false" customHeight="false" outlineLevel="0" collapsed="false">
      <c r="A41" s="4" t="s">
        <v>100</v>
      </c>
      <c r="C41" s="19" t="n">
        <f aca="false">Assumptions!C59</f>
        <v>0.4</v>
      </c>
      <c r="D41" s="19" t="n">
        <f aca="false">Assumptions!D59</f>
        <v>0.55</v>
      </c>
      <c r="E41" s="19" t="n">
        <f aca="false">Assumptions!E59</f>
        <v>0.8</v>
      </c>
      <c r="F41" s="19" t="n">
        <f aca="false">Assumptions!F59</f>
        <v>1</v>
      </c>
      <c r="G41" s="19" t="n">
        <f aca="false">Assumptions!G59</f>
        <v>1.3</v>
      </c>
    </row>
    <row r="42" customFormat="false" ht="15" hidden="false" customHeight="false" outlineLevel="0" collapsed="false">
      <c r="A42" s="4" t="s">
        <v>101</v>
      </c>
      <c r="C42" s="19" t="n">
        <f aca="false">C15*Assumptions!$C$38+C26*Assumptions!$C$39</f>
        <v>0.05</v>
      </c>
      <c r="D42" s="19" t="n">
        <f aca="false">D15*Assumptions!$C$38+D26*Assumptions!$C$39</f>
        <v>0.1325</v>
      </c>
      <c r="E42" s="19" t="n">
        <f aca="false">E15*Assumptions!$C$38+E26*Assumptions!$C$39</f>
        <v>0.2735</v>
      </c>
      <c r="F42" s="19" t="n">
        <f aca="false">F15*Assumptions!$C$38+F26*Assumptions!$C$39</f>
        <v>0.36</v>
      </c>
      <c r="G42" s="19" t="n">
        <f aca="false">G15*Assumptions!$C$38+G26*Assumptions!$C$39</f>
        <v>0.63</v>
      </c>
    </row>
    <row r="43" customFormat="false" ht="15" hidden="false" customHeight="false" outlineLevel="0" collapsed="false">
      <c r="A43" s="3" t="s">
        <v>102</v>
      </c>
      <c r="C43" s="20" t="n">
        <f aca="false">SUM(C40:C42)</f>
        <v>1.9625</v>
      </c>
      <c r="D43" s="20" t="n">
        <f aca="false">SUM(D40:D42)</f>
        <v>2.8825</v>
      </c>
      <c r="E43" s="20" t="n">
        <f aca="false">SUM(E40:E42)</f>
        <v>4.30475</v>
      </c>
      <c r="F43" s="20" t="n">
        <f aca="false">SUM(F40:F42)</f>
        <v>5.85625</v>
      </c>
      <c r="G43" s="20" t="n">
        <f aca="false">SUM(G40:G42)</f>
        <v>7.8975</v>
      </c>
    </row>
    <row r="44" customFormat="false" ht="15" hidden="false" customHeight="false" outlineLevel="0" collapsed="false">
      <c r="A44" s="3" t="s">
        <v>103</v>
      </c>
      <c r="C44" s="20" t="n">
        <f aca="false">C27-C43</f>
        <v>-1.2625</v>
      </c>
      <c r="D44" s="20" t="n">
        <f aca="false">D27-D43</f>
        <v>-0.5125</v>
      </c>
      <c r="E44" s="20" t="n">
        <f aca="false">E27-E43</f>
        <v>0.76025</v>
      </c>
      <c r="F44" s="20" t="n">
        <f aca="false">F27-F43</f>
        <v>2.30375</v>
      </c>
      <c r="G44" s="20" t="n">
        <f aca="false">G27-G43</f>
        <v>5.4625</v>
      </c>
    </row>
    <row r="45" customFormat="false" ht="15" hidden="false" customHeight="false" outlineLevel="0" collapsed="false">
      <c r="A45" s="4" t="s">
        <v>104</v>
      </c>
      <c r="C45" s="18" t="n">
        <f aca="false">IFERROR(C44/C27,0)</f>
        <v>-1.80357142857143</v>
      </c>
      <c r="D45" s="18" t="n">
        <f aca="false">IFERROR(D44/D27,0)</f>
        <v>-0.216244725738397</v>
      </c>
      <c r="E45" s="18" t="n">
        <f aca="false">IFERROR(E44/E27,0)</f>
        <v>0.150098716683119</v>
      </c>
      <c r="F45" s="18" t="n">
        <f aca="false">IFERROR(F44/F27,0)</f>
        <v>0.282322303921569</v>
      </c>
      <c r="G45" s="18" t="n">
        <f aca="false">IFERROR(G44/G27,0)</f>
        <v>0.408869760479042</v>
      </c>
    </row>
    <row r="46" customFormat="false" ht="15" hidden="false" customHeight="false" outlineLevel="0" collapsed="false">
      <c r="A46" s="4" t="s">
        <v>105</v>
      </c>
      <c r="C46" s="19" t="n">
        <f aca="false">C44</f>
        <v>-1.2625</v>
      </c>
      <c r="D46" s="19" t="n">
        <f aca="false">C46+D44</f>
        <v>-1.775</v>
      </c>
      <c r="E46" s="19" t="n">
        <f aca="false">D46+E44</f>
        <v>-1.01475</v>
      </c>
      <c r="F46" s="19" t="n">
        <f aca="false">E46+F44</f>
        <v>1.289</v>
      </c>
      <c r="G46" s="19" t="n">
        <f aca="false">F46+G44</f>
        <v>6.7515</v>
      </c>
    </row>
    <row r="47" customFormat="false" ht="15" hidden="false" customHeight="false" outlineLevel="0" collapsed="false">
      <c r="A47" s="3" t="s">
        <v>106</v>
      </c>
      <c r="C47" s="20" t="n">
        <f aca="false">-MIN(0,MIN(C46:G46))</f>
        <v>1.775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3" style="0" width="14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C4" s="15" t="s">
        <v>109</v>
      </c>
      <c r="D4" s="15" t="s">
        <v>110</v>
      </c>
      <c r="E4" s="15" t="s">
        <v>111</v>
      </c>
    </row>
    <row r="5" customFormat="false" ht="15" hidden="false" customHeight="false" outlineLevel="0" collapsed="false">
      <c r="A5" s="4" t="s">
        <v>112</v>
      </c>
      <c r="C5" s="21" t="n">
        <v>4</v>
      </c>
      <c r="D5" s="21" t="n">
        <v>6</v>
      </c>
      <c r="E5" s="21" t="n">
        <v>8</v>
      </c>
    </row>
    <row r="6" customFormat="false" ht="15" hidden="false" customHeight="false" outlineLevel="0" collapsed="false">
      <c r="A6" s="4" t="s">
        <v>113</v>
      </c>
      <c r="C6" s="21" t="n">
        <v>1</v>
      </c>
      <c r="D6" s="21" t="n">
        <v>1.5</v>
      </c>
      <c r="E6" s="21" t="n">
        <v>2</v>
      </c>
    </row>
    <row r="7" customFormat="false" ht="15" hidden="false" customHeight="false" outlineLevel="0" collapsed="false">
      <c r="A7" s="4" t="s">
        <v>114</v>
      </c>
      <c r="C7" s="21" t="n">
        <v>10</v>
      </c>
      <c r="D7" s="21" t="n">
        <v>15</v>
      </c>
      <c r="E7" s="21" t="n">
        <v>20</v>
      </c>
    </row>
    <row r="9" customFormat="false" ht="15" hidden="false" customHeight="false" outlineLevel="0" collapsed="false">
      <c r="A9" s="3" t="s">
        <v>115</v>
      </c>
    </row>
    <row r="10" customFormat="false" ht="15" hidden="false" customHeight="false" outlineLevel="0" collapsed="false">
      <c r="A10" s="4" t="s">
        <v>116</v>
      </c>
      <c r="C10" s="22" t="n">
        <f aca="false">Model!G27</f>
        <v>13.36</v>
      </c>
    </row>
    <row r="11" customFormat="false" ht="15" hidden="false" customHeight="false" outlineLevel="0" collapsed="false">
      <c r="A11" s="4" t="s">
        <v>117</v>
      </c>
      <c r="C11" s="22" t="n">
        <f aca="false">Model!G28</f>
        <v>7.22</v>
      </c>
    </row>
    <row r="12" customFormat="false" ht="15" hidden="false" customHeight="false" outlineLevel="0" collapsed="false">
      <c r="A12" s="4" t="s">
        <v>118</v>
      </c>
      <c r="C12" s="19" t="n">
        <f aca="false">C10-C11</f>
        <v>6.14</v>
      </c>
    </row>
    <row r="13" customFormat="false" ht="15" hidden="false" customHeight="false" outlineLevel="0" collapsed="false">
      <c r="A13" s="4" t="s">
        <v>119</v>
      </c>
      <c r="C13" s="22" t="n">
        <f aca="false">Model!G44</f>
        <v>5.4625</v>
      </c>
    </row>
    <row r="15" customFormat="false" ht="15" hidden="false" customHeight="false" outlineLevel="0" collapsed="false">
      <c r="A15" s="3" t="s">
        <v>120</v>
      </c>
      <c r="C15" s="15" t="s">
        <v>109</v>
      </c>
      <c r="D15" s="15" t="s">
        <v>110</v>
      </c>
      <c r="E15" s="15" t="s">
        <v>111</v>
      </c>
    </row>
    <row r="16" customFormat="false" ht="15" hidden="false" customHeight="false" outlineLevel="0" collapsed="false">
      <c r="A16" s="4" t="s">
        <v>121</v>
      </c>
      <c r="C16" s="19" t="n">
        <f aca="false">$C$11*C5+$C$12*C6</f>
        <v>35.02</v>
      </c>
      <c r="D16" s="19" t="n">
        <f aca="false">$C$11*D5+$C$12*D6</f>
        <v>52.53</v>
      </c>
      <c r="E16" s="19" t="n">
        <f aca="false">$C$11*E5+$C$12*E6</f>
        <v>70.04</v>
      </c>
    </row>
    <row r="17" customFormat="false" ht="15" hidden="false" customHeight="false" outlineLevel="0" collapsed="false">
      <c r="A17" s="4" t="s">
        <v>122</v>
      </c>
      <c r="C17" s="19" t="n">
        <f aca="false">MAX(0,$C$13)*C7</f>
        <v>54.625</v>
      </c>
      <c r="D17" s="19" t="n">
        <f aca="false">MAX(0,$C$13)*D7</f>
        <v>81.9375</v>
      </c>
      <c r="E17" s="19" t="n">
        <f aca="false">MAX(0,$C$13)*E7</f>
        <v>109.25</v>
      </c>
    </row>
    <row r="18" customFormat="false" ht="15" hidden="false" customHeight="false" outlineLevel="0" collapsed="false">
      <c r="A18" s="4" t="s">
        <v>123</v>
      </c>
      <c r="C18" s="20" t="n">
        <f aca="false">AVERAGE(C16:C17)</f>
        <v>44.8225</v>
      </c>
      <c r="D18" s="20" t="n">
        <f aca="false">AVERAGE(D16:D17)</f>
        <v>67.23375</v>
      </c>
      <c r="E18" s="20" t="n">
        <f aca="false">AVERAGE(E16:E17)</f>
        <v>89.645</v>
      </c>
    </row>
    <row r="19" customFormat="false" ht="15" hidden="false" customHeight="false" outlineLevel="0" collapsed="false">
      <c r="A19" s="4" t="s">
        <v>124</v>
      </c>
      <c r="C19" s="7" t="n">
        <f aca="false">IFERROR(C18/$C$10,0)</f>
        <v>3.35497754491018</v>
      </c>
      <c r="D19" s="7" t="n">
        <f aca="false">IFERROR(D18/$C$10,0)</f>
        <v>5.03246631736527</v>
      </c>
      <c r="E19" s="7" t="n">
        <f aca="false">IFERROR(E18/$C$10,0)</f>
        <v>6.70995508982036</v>
      </c>
    </row>
    <row r="21" customFormat="false" ht="15" hidden="false" customHeight="false" outlineLevel="0" collapsed="false">
      <c r="A21" s="3" t="s">
        <v>125</v>
      </c>
    </row>
    <row r="22" customFormat="false" ht="15" hidden="false" customHeight="false" outlineLevel="0" collapsed="false">
      <c r="A22" s="4" t="s">
        <v>126</v>
      </c>
      <c r="C22" s="21" t="n">
        <v>20</v>
      </c>
    </row>
    <row r="23" customFormat="false" ht="15" hidden="false" customHeight="false" outlineLevel="0" collapsed="false">
      <c r="A23" s="4" t="s">
        <v>127</v>
      </c>
      <c r="C23" s="21" t="n">
        <v>10</v>
      </c>
    </row>
    <row r="24" customFormat="false" ht="15" hidden="false" customHeight="false" outlineLevel="0" collapsed="false">
      <c r="A24" s="4" t="s">
        <v>128</v>
      </c>
      <c r="C24" s="10" t="n">
        <v>0.15</v>
      </c>
    </row>
    <row r="26" customFormat="false" ht="15" hidden="false" customHeight="false" outlineLevel="0" collapsed="false">
      <c r="C26" s="15" t="s">
        <v>109</v>
      </c>
      <c r="D26" s="15" t="s">
        <v>110</v>
      </c>
      <c r="E26" s="15" t="s">
        <v>111</v>
      </c>
    </row>
    <row r="27" customFormat="false" ht="15" hidden="false" customHeight="false" outlineLevel="0" collapsed="false">
      <c r="A27" s="4" t="s">
        <v>129</v>
      </c>
      <c r="C27" s="19" t="n">
        <f aca="false">C18*(1-$C$24)/$C$22</f>
        <v>1.90495625</v>
      </c>
      <c r="D27" s="19" t="n">
        <f aca="false">D18*(1-$C$24)/$C$22</f>
        <v>2.857434375</v>
      </c>
      <c r="E27" s="19" t="n">
        <f aca="false">E18*(1-$C$24)/$C$22</f>
        <v>3.8099125</v>
      </c>
    </row>
    <row r="28" customFormat="false" ht="15" hidden="false" customHeight="false" outlineLevel="0" collapsed="false">
      <c r="A28" s="4" t="s">
        <v>130</v>
      </c>
      <c r="C28" s="19" t="n">
        <f aca="false">C18*(1-$C$24)/$C$23</f>
        <v>3.8099125</v>
      </c>
      <c r="D28" s="19" t="n">
        <f aca="false">D18*(1-$C$24)/$C$23</f>
        <v>5.71486875</v>
      </c>
      <c r="E28" s="19" t="n">
        <f aca="false">E18*(1-$C$24)/$C$23</f>
        <v>7.619825</v>
      </c>
    </row>
    <row r="30" customFormat="false" ht="15" hidden="false" customHeight="false" outlineLevel="0" collapsed="false">
      <c r="A30" s="3" t="s">
        <v>131</v>
      </c>
    </row>
    <row r="31" customFormat="false" ht="15" hidden="false" customHeight="false" outlineLevel="0" collapsed="false">
      <c r="A31" s="4" t="s">
        <v>132</v>
      </c>
      <c r="C31" s="4" t="s">
        <v>133</v>
      </c>
    </row>
    <row r="32" customFormat="false" ht="15" hidden="false" customHeight="false" outlineLevel="0" collapsed="false">
      <c r="A32" s="4" t="s">
        <v>134</v>
      </c>
      <c r="C32" s="4" t="s">
        <v>135</v>
      </c>
    </row>
    <row r="33" customFormat="false" ht="15" hidden="false" customHeight="false" outlineLevel="0" collapsed="false">
      <c r="A33" s="4" t="s">
        <v>136</v>
      </c>
      <c r="C33" s="4" t="s">
        <v>137</v>
      </c>
    </row>
    <row r="34" customFormat="false" ht="15" hidden="false" customHeight="false" outlineLevel="0" collapsed="false">
      <c r="A34" s="4" t="s">
        <v>138</v>
      </c>
      <c r="C34" s="4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2026-10-15T02:30:53Z</dcterms:created>
  <dc:creator>openpyxl</dc:creator>
  <dc:description/>
  <dc:language>en-US</dc:language>
  <cp:lastModifiedBy/>
  <dcterms:modified xsi:type="dcterms:W3CDTF">2026-10-15T02:30:53Z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